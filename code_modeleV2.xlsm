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20730" windowHeight="9810"/>
  </bookViews>
  <sheets>
    <sheet name="Feuil1" sheetId="1" r:id="rId1"/>
    <sheet name="Feuil2" sheetId="2" r:id="rId2"/>
    <sheet name="Feuil3" sheetId="3" r:id="rId3"/>
  </sheets>
  <functionGroups builtInGroupCount="17"/>
  <definedNames>
    <definedName name="solver_adj" localSheetId="0" hidden="1">Feuil1!$H$17,Feuil1!$I$17,Feuil1!$D$17,Feuil1!$E$17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Feuil1!$F$17</definedName>
    <definedName name="solver_lhs10" localSheetId="0" hidden="1">Feuil1!$E$17</definedName>
    <definedName name="solver_lhs11" localSheetId="0" hidden="1">Feuil1!$E$17</definedName>
    <definedName name="solver_lhs12" localSheetId="0" hidden="1">Feuil1!$C$16</definedName>
    <definedName name="solver_lhs13" localSheetId="0" hidden="1">Feuil1!$C$16</definedName>
    <definedName name="solver_lhs14" localSheetId="0" hidden="1">Feuil1!$G$6</definedName>
    <definedName name="solver_lhs2" localSheetId="0" hidden="1">Feuil1!$F$17</definedName>
    <definedName name="solver_lhs3" localSheetId="0" hidden="1">Feuil1!$D$17</definedName>
    <definedName name="solver_lhs4" localSheetId="0" hidden="1">Feuil1!$D$17</definedName>
    <definedName name="solver_lhs5" localSheetId="0" hidden="1">Feuil1!$H$17</definedName>
    <definedName name="solver_lhs6" localSheetId="0" hidden="1">Feuil1!$H$17</definedName>
    <definedName name="solver_lhs7" localSheetId="0" hidden="1">Feuil1!$I$17</definedName>
    <definedName name="solver_lhs8" localSheetId="0" hidden="1">Feuil1!$I$17</definedName>
    <definedName name="solver_lhs9" localSheetId="0" hidden="1">Feuil1!$G$6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14</definedName>
    <definedName name="solver_nwt" localSheetId="0" hidden="1">1</definedName>
    <definedName name="solver_opt" localSheetId="0" hidden="1">Feuil1!$B$70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10" localSheetId="0" hidden="1">3</definedName>
    <definedName name="solver_rel11" localSheetId="0" hidden="1">1</definedName>
    <definedName name="solver_rel12" localSheetId="0" hidden="1">3</definedName>
    <definedName name="solver_rel13" localSheetId="0" hidden="1">1</definedName>
    <definedName name="solver_rel14" localSheetId="0" hidden="1">1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el7" localSheetId="0" hidden="1">1</definedName>
    <definedName name="solver_rel8" localSheetId="0" hidden="1">3</definedName>
    <definedName name="solver_rel9" localSheetId="0" hidden="1">3</definedName>
    <definedName name="solver_rhs1" localSheetId="0" hidden="1">8</definedName>
    <definedName name="solver_rhs10" localSheetId="0" hidden="1">5</definedName>
    <definedName name="solver_rhs11" localSheetId="0" hidden="1">500</definedName>
    <definedName name="solver_rhs12" localSheetId="0" hidden="1">0.5</definedName>
    <definedName name="solver_rhs13" localSheetId="0" hidden="1">5</definedName>
    <definedName name="solver_rhs14" localSheetId="0" hidden="1">0.99999</definedName>
    <definedName name="solver_rhs2" localSheetId="0" hidden="1">20</definedName>
    <definedName name="solver_rhs3" localSheetId="0" hidden="1">0.99999</definedName>
    <definedName name="solver_rhs4" localSheetId="0" hidden="1">0.5</definedName>
    <definedName name="solver_rhs5" localSheetId="0" hidden="1">0.99999</definedName>
    <definedName name="solver_rhs6" localSheetId="0" hidden="1">0.8</definedName>
    <definedName name="solver_rhs7" localSheetId="0" hidden="1">0.99999</definedName>
    <definedName name="solver_rhs8" localSheetId="0" hidden="1">0.8</definedName>
    <definedName name="solver_rhs9" localSheetId="0" hidden="1">0.99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 calcMode="manual"/>
</workbook>
</file>

<file path=xl/calcChain.xml><?xml version="1.0" encoding="utf-8"?>
<calcChain xmlns="http://schemas.openxmlformats.org/spreadsheetml/2006/main">
  <c r="R24" i="1" l="1"/>
  <c r="C13" i="1"/>
  <c r="C46" i="1" l="1"/>
  <c r="D51" i="1"/>
  <c r="F51" i="1"/>
  <c r="C45" i="1"/>
  <c r="C43" i="1"/>
  <c r="Q58" i="1" l="1"/>
  <c r="N58" i="1"/>
  <c r="K58" i="1"/>
  <c r="H58" i="1"/>
  <c r="E58" i="1"/>
  <c r="B51" i="1"/>
  <c r="C51" i="1" s="1"/>
  <c r="B58" i="1" l="1"/>
  <c r="B61" i="1"/>
  <c r="Q64" i="1"/>
  <c r="G51" i="1" l="1"/>
  <c r="Q66" i="1"/>
  <c r="E25" i="1" l="1"/>
  <c r="F25" i="1"/>
  <c r="D25" i="1"/>
  <c r="N25" i="1"/>
  <c r="K25" i="1"/>
  <c r="L25" i="1"/>
  <c r="M25" i="1"/>
  <c r="J25" i="1"/>
  <c r="C25" i="1"/>
  <c r="H25" i="1"/>
  <c r="I25" i="1"/>
  <c r="G25" i="1"/>
  <c r="S25" i="1"/>
  <c r="R25" i="1"/>
  <c r="Q25" i="1"/>
  <c r="P25" i="1"/>
  <c r="M24" i="1"/>
  <c r="C8" i="1" l="1"/>
  <c r="P24" i="1" s="1"/>
  <c r="C7" i="1"/>
  <c r="Q24" i="1" s="1"/>
  <c r="P26" i="1"/>
  <c r="Q26" i="1"/>
  <c r="P29" i="1"/>
  <c r="C44" i="1"/>
  <c r="R26" i="1"/>
  <c r="E51" i="1" l="1"/>
  <c r="P39" i="1"/>
  <c r="G29" i="1"/>
  <c r="P37" i="1"/>
  <c r="J50" i="1"/>
  <c r="L26" i="1"/>
  <c r="D26" i="1"/>
  <c r="L24" i="1"/>
  <c r="H29" i="1"/>
  <c r="P36" i="1"/>
  <c r="P40" i="1"/>
  <c r="D24" i="1"/>
  <c r="Q40" i="1" l="1"/>
  <c r="Q36" i="1"/>
  <c r="Q37" i="1"/>
  <c r="Q39" i="1"/>
  <c r="D27" i="1"/>
  <c r="K51" i="1"/>
  <c r="K50" i="1"/>
  <c r="G24" i="1"/>
  <c r="G31" i="1"/>
  <c r="J51" i="1"/>
  <c r="I45" i="1"/>
  <c r="I43" i="1"/>
  <c r="I46" i="1"/>
  <c r="H31" i="1" l="1"/>
  <c r="C75" i="1"/>
  <c r="K60" i="1"/>
  <c r="K71" i="1"/>
  <c r="G30" i="1"/>
  <c r="G32" i="1" l="1"/>
  <c r="H32" i="1" s="1"/>
  <c r="H30" i="1"/>
  <c r="G26" i="1"/>
  <c r="H26" i="1"/>
  <c r="H27" i="1" l="1"/>
  <c r="G27" i="1"/>
  <c r="E26" i="1"/>
  <c r="H24" i="1"/>
  <c r="K45" i="1"/>
  <c r="E43" i="1"/>
  <c r="S24" i="1"/>
  <c r="C24" i="1" l="1"/>
  <c r="E27" i="1"/>
  <c r="S26" i="1"/>
  <c r="C26" i="1"/>
  <c r="E24" i="1"/>
  <c r="H33" i="1"/>
  <c r="G43" i="1"/>
  <c r="E59" i="1" l="1"/>
  <c r="D75" i="1"/>
  <c r="N24" i="1"/>
  <c r="I24" i="1"/>
  <c r="K44" i="1"/>
  <c r="I34" i="1"/>
  <c r="N26" i="1"/>
  <c r="E68" i="1"/>
  <c r="I26" i="1"/>
  <c r="I33" i="1"/>
  <c r="E64" i="1"/>
  <c r="N60" i="1" l="1"/>
  <c r="M26" i="1"/>
  <c r="E45" i="1"/>
  <c r="N68" i="1"/>
  <c r="E44" i="1"/>
  <c r="J34" i="1"/>
  <c r="J24" i="1"/>
  <c r="J26" i="1"/>
  <c r="G44" i="1"/>
  <c r="K24" i="1"/>
  <c r="K34" i="1"/>
  <c r="K26" i="1"/>
  <c r="K27" i="1" l="1"/>
  <c r="E75" i="1"/>
  <c r="H59" i="1"/>
  <c r="J27" i="1"/>
  <c r="H68" i="1"/>
  <c r="H64" i="1"/>
  <c r="B70" i="1" l="1"/>
</calcChain>
</file>

<file path=xl/sharedStrings.xml><?xml version="1.0" encoding="utf-8"?>
<sst xmlns="http://schemas.openxmlformats.org/spreadsheetml/2006/main" count="161" uniqueCount="121">
  <si>
    <t>a</t>
  </si>
  <si>
    <t>b</t>
  </si>
  <si>
    <t>c</t>
  </si>
  <si>
    <t>d</t>
  </si>
  <si>
    <t>e</t>
  </si>
  <si>
    <t>f</t>
  </si>
  <si>
    <t>RE</t>
  </si>
  <si>
    <t>Entrée EV</t>
  </si>
  <si>
    <t>Sortie EV</t>
  </si>
  <si>
    <t>Entrée CD</t>
  </si>
  <si>
    <t>Sortie CD</t>
  </si>
  <si>
    <t>T (K)</t>
  </si>
  <si>
    <t>P (bar)</t>
  </si>
  <si>
    <t>H (kj/kg)</t>
  </si>
  <si>
    <t>Données du problème</t>
  </si>
  <si>
    <t>Titre vapeur (kg)</t>
  </si>
  <si>
    <t>Cp (kJ/kg/K)</t>
  </si>
  <si>
    <t>H_bulle</t>
  </si>
  <si>
    <t>H_rosée</t>
  </si>
  <si>
    <t>H_vap</t>
  </si>
  <si>
    <t>H (kj/mol)</t>
  </si>
  <si>
    <t>Masse volumique (kg/m3)</t>
  </si>
  <si>
    <t>Basse pression (bar)</t>
  </si>
  <si>
    <t>Taux de reflux</t>
  </si>
  <si>
    <t>Evaporateur</t>
  </si>
  <si>
    <t>Puissance frigorifique (kW)</t>
  </si>
  <si>
    <t>Pression utilité (bar)</t>
  </si>
  <si>
    <t>Température sortie utilité (K)</t>
  </si>
  <si>
    <t>Température entrée utilité (K)</t>
  </si>
  <si>
    <t>Coefficient d'échange (kW/m²/K)</t>
  </si>
  <si>
    <t>Débit utilité (kg/s)</t>
  </si>
  <si>
    <t>Générateur</t>
  </si>
  <si>
    <t>Titre en tête</t>
  </si>
  <si>
    <t>Condenseur</t>
  </si>
  <si>
    <t>Absorbeur</t>
  </si>
  <si>
    <t>Variables d'optimisation</t>
  </si>
  <si>
    <t>Débit ammoniac (kg/s)</t>
  </si>
  <si>
    <t>Surface évaporateur (m²)</t>
  </si>
  <si>
    <t>Surface condenseur(m²)</t>
  </si>
  <si>
    <t>Surface échangeur (m²)</t>
  </si>
  <si>
    <t>Haute pression (bar)</t>
  </si>
  <si>
    <t>Nombre de plateaux</t>
  </si>
  <si>
    <t>Diamètre absorbeur (m)</t>
  </si>
  <si>
    <t>Hauteur générateur (m)</t>
  </si>
  <si>
    <t>Hauteur absorbeur (m)</t>
  </si>
  <si>
    <t>Débit solution pauvre (kg/s)</t>
  </si>
  <si>
    <t>Débit solution riche (kg/s)</t>
  </si>
  <si>
    <t>Diamètre générateur (m)</t>
  </si>
  <si>
    <t>Débit utilité évaporateur (kg/s)</t>
  </si>
  <si>
    <t>Puissance condenseur</t>
  </si>
  <si>
    <t>Puissance échangeur</t>
  </si>
  <si>
    <t>Titre ammoniac solution riche</t>
  </si>
  <si>
    <t>Titres</t>
  </si>
  <si>
    <t>Solution riche</t>
  </si>
  <si>
    <t>Solution pauvre</t>
  </si>
  <si>
    <t>Sortie colonne</t>
  </si>
  <si>
    <t>Ammoniac</t>
  </si>
  <si>
    <t>Eau</t>
  </si>
  <si>
    <t>Puissance pompe</t>
  </si>
  <si>
    <t>Pas entre plateaux (m)</t>
  </si>
  <si>
    <t>épaisseur plateau</t>
  </si>
  <si>
    <t xml:space="preserve">Prix </t>
  </si>
  <si>
    <t>fpn</t>
  </si>
  <si>
    <t>fpa</t>
  </si>
  <si>
    <t>Prix</t>
  </si>
  <si>
    <t>fep</t>
  </si>
  <si>
    <t>Prix garnissage</t>
  </si>
  <si>
    <t>fpl</t>
  </si>
  <si>
    <t>facteur matériau</t>
  </si>
  <si>
    <t>fe j</t>
  </si>
  <si>
    <t>facteur température</t>
  </si>
  <si>
    <t>facteur pression asp</t>
  </si>
  <si>
    <t>fej</t>
  </si>
  <si>
    <t>fe v+f</t>
  </si>
  <si>
    <t>fevf</t>
  </si>
  <si>
    <t>e jupe</t>
  </si>
  <si>
    <t>facteur passe</t>
  </si>
  <si>
    <t>Dplateau</t>
  </si>
  <si>
    <t>facteur longueur</t>
  </si>
  <si>
    <t>facteur  pompe</t>
  </si>
  <si>
    <t>e fonds</t>
  </si>
  <si>
    <t>facteur diamètre</t>
  </si>
  <si>
    <t>Prix de base</t>
  </si>
  <si>
    <t>H virole</t>
  </si>
  <si>
    <t>facteur echangeur</t>
  </si>
  <si>
    <t>e virole</t>
  </si>
  <si>
    <t>Surface</t>
  </si>
  <si>
    <t>Pression asp (Bar)</t>
  </si>
  <si>
    <t>Diamètre virole</t>
  </si>
  <si>
    <t>Pression</t>
  </si>
  <si>
    <t>Pompe</t>
  </si>
  <si>
    <t>Echangeur sol</t>
  </si>
  <si>
    <t>Coûts</t>
  </si>
  <si>
    <t>Masse molaire</t>
  </si>
  <si>
    <t>facteur pression</t>
  </si>
  <si>
    <r>
      <t>E</t>
    </r>
    <r>
      <rPr>
        <b/>
        <sz val="14"/>
        <color theme="1"/>
        <rFont val="Calibri"/>
        <family val="2"/>
        <scheme val="minor"/>
      </rPr>
      <t>changeur inter solution</t>
    </r>
  </si>
  <si>
    <t>Cout total</t>
  </si>
  <si>
    <t>Contrainte</t>
  </si>
  <si>
    <t>Pincement</t>
  </si>
  <si>
    <t>Echangeur intersolution</t>
  </si>
  <si>
    <t xml:space="preserve">ratio </t>
  </si>
  <si>
    <t>Débits</t>
  </si>
  <si>
    <t>Puissance</t>
  </si>
  <si>
    <t>Surface échangeur</t>
  </si>
  <si>
    <t>débit d'eau circuit</t>
  </si>
  <si>
    <t>Rendement</t>
  </si>
  <si>
    <t>Taux de récupération en tête</t>
  </si>
  <si>
    <t>Taux de récupération en pied</t>
  </si>
  <si>
    <t>Propriétés Physiques</t>
  </si>
  <si>
    <t>Etats du circuit</t>
  </si>
  <si>
    <t>Autres grandeurs Calculées</t>
  </si>
  <si>
    <t>Equilibre eau/ammoniac</t>
  </si>
  <si>
    <t>Pressions générateur</t>
  </si>
  <si>
    <t>Tete</t>
  </si>
  <si>
    <t>Pied</t>
  </si>
  <si>
    <t>x_v</t>
  </si>
  <si>
    <t>mu_l</t>
  </si>
  <si>
    <t>rho_l</t>
  </si>
  <si>
    <t>rho_v</t>
  </si>
  <si>
    <t>sigma</t>
  </si>
  <si>
    <t>conductivité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</si>
</sst>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0" fillId="0" borderId="0" xfId="0" applyBorder="1"/>
    <xf numFmtId="0" fontId="0" fillId="0" borderId="1" xfId="0" applyFill="1" applyBorder="1"/>
    <xf numFmtId="0" fontId="0" fillId="5" borderId="1" xfId="0" applyFill="1" applyBorder="1"/>
    <xf numFmtId="0" fontId="0" fillId="0" borderId="4" xfId="0" applyBorder="1"/>
    <xf numFmtId="0" fontId="0" fillId="0" borderId="0" xfId="0" applyFill="1" applyBorder="1"/>
    <xf numFmtId="0" fontId="3" fillId="0" borderId="0" xfId="0" applyFont="1" applyBorder="1"/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2" fontId="0" fillId="0" borderId="1" xfId="0" applyNumberFormat="1" applyBorder="1"/>
    <xf numFmtId="164" fontId="0" fillId="0" borderId="1" xfId="0" applyNumberFormat="1" applyBorder="1"/>
    <xf numFmtId="0" fontId="3" fillId="0" borderId="0" xfId="0" applyFont="1"/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5" fillId="0" borderId="0" xfId="0" applyFont="1"/>
    <xf numFmtId="0" fontId="0" fillId="0" borderId="0" xfId="0" applyFont="1"/>
    <xf numFmtId="0" fontId="1" fillId="0" borderId="0" xfId="0" applyFont="1"/>
    <xf numFmtId="0" fontId="0" fillId="0" borderId="8" xfId="0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11" xfId="0" applyBorder="1"/>
    <xf numFmtId="0" fontId="0" fillId="0" borderId="19" xfId="0" applyBorder="1"/>
    <xf numFmtId="2" fontId="0" fillId="0" borderId="13" xfId="0" applyNumberFormat="1" applyBorder="1" applyAlignment="1">
      <alignment horizontal="center" vertical="center"/>
    </xf>
    <xf numFmtId="0" fontId="6" fillId="2" borderId="2" xfId="0" applyFont="1" applyFill="1" applyBorder="1" applyAlignment="1"/>
    <xf numFmtId="0" fontId="7" fillId="0" borderId="26" xfId="0" applyFont="1" applyFill="1" applyBorder="1" applyAlignment="1">
      <alignment vertical="center"/>
    </xf>
    <xf numFmtId="0" fontId="0" fillId="3" borderId="26" xfId="0" applyFill="1" applyBorder="1"/>
    <xf numFmtId="0" fontId="0" fillId="0" borderId="16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/>
    <xf numFmtId="0" fontId="0" fillId="0" borderId="28" xfId="0" applyBorder="1"/>
    <xf numFmtId="0" fontId="0" fillId="0" borderId="15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23" xfId="0" applyFill="1" applyBorder="1"/>
    <xf numFmtId="164" fontId="0" fillId="0" borderId="19" xfId="0" applyNumberFormat="1" applyBorder="1" applyAlignment="1">
      <alignment horizontal="center" vertical="center"/>
    </xf>
    <xf numFmtId="164" fontId="0" fillId="0" borderId="0" xfId="0" applyNumberFormat="1"/>
    <xf numFmtId="2" fontId="0" fillId="0" borderId="0" xfId="0" applyNumberFormat="1"/>
    <xf numFmtId="0" fontId="0" fillId="0" borderId="30" xfId="0" applyBorder="1" applyAlignment="1">
      <alignment horizontal="center"/>
    </xf>
    <xf numFmtId="0" fontId="0" fillId="0" borderId="31" xfId="0" applyFill="1" applyBorder="1" applyAlignment="1">
      <alignment horizontal="center" vertical="center"/>
    </xf>
    <xf numFmtId="0" fontId="0" fillId="0" borderId="32" xfId="0" applyBorder="1"/>
    <xf numFmtId="0" fontId="0" fillId="0" borderId="29" xfId="0" applyBorder="1"/>
    <xf numFmtId="0" fontId="0" fillId="0" borderId="18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33" xfId="0" applyBorder="1"/>
    <xf numFmtId="0" fontId="0" fillId="0" borderId="25" xfId="0" applyBorder="1"/>
    <xf numFmtId="0" fontId="0" fillId="0" borderId="20" xfId="0" applyBorder="1"/>
    <xf numFmtId="0" fontId="2" fillId="0" borderId="9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Fill="1" applyBorder="1" applyAlignment="1"/>
    <xf numFmtId="0" fontId="0" fillId="0" borderId="0" xfId="0" applyBorder="1" applyAlignment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6" borderId="1" xfId="0" applyFill="1" applyBorder="1"/>
    <xf numFmtId="0" fontId="0" fillId="7" borderId="1" xfId="0" applyFill="1" applyBorder="1"/>
    <xf numFmtId="0" fontId="0" fillId="7" borderId="2" xfId="0" applyFill="1" applyBorder="1" applyAlignment="1"/>
    <xf numFmtId="0" fontId="0" fillId="7" borderId="1" xfId="0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E884227-E3C2-400D-A8C3-03CD51432164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5" name="SimulisCalculato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790575</xdr:colOff>
          <xdr:row>0</xdr:row>
          <xdr:rowOff>228600</xdr:rowOff>
        </xdr:from>
        <xdr:to>
          <xdr:col>3</xdr:col>
          <xdr:colOff>2028825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Solveur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S77"/>
  <sheetViews>
    <sheetView tabSelected="1" topLeftCell="F13" zoomScale="80" zoomScaleNormal="80" workbookViewId="0">
      <selection activeCell="Q41" sqref="Q41"/>
    </sheetView>
  </sheetViews>
  <sheetFormatPr baseColWidth="10" defaultColWidth="11.42578125" defaultRowHeight="15" x14ac:dyDescent="0.25"/>
  <cols>
    <col min="1" max="1" width="43.5703125" customWidth="1"/>
    <col min="2" max="2" width="35.5703125" customWidth="1"/>
    <col min="3" max="3" width="26.140625" customWidth="1"/>
    <col min="4" max="4" width="32.140625" customWidth="1"/>
    <col min="5" max="5" width="24.7109375" customWidth="1"/>
    <col min="6" max="6" width="23.85546875" customWidth="1"/>
    <col min="7" max="7" width="24" customWidth="1"/>
    <col min="8" max="8" width="29.42578125" customWidth="1"/>
    <col min="9" max="9" width="29.7109375" customWidth="1"/>
    <col min="10" max="10" width="33" customWidth="1"/>
    <col min="11" max="11" width="28.5703125" customWidth="1"/>
    <col min="12" max="12" width="27" customWidth="1"/>
    <col min="13" max="13" width="23.85546875" customWidth="1"/>
    <col min="14" max="14" width="26.7109375" customWidth="1"/>
    <col min="15" max="15" width="24.85546875" customWidth="1"/>
    <col min="16" max="16" width="21.85546875" customWidth="1"/>
  </cols>
  <sheetData>
    <row r="1" spans="1:14" ht="41.25" customHeight="1" x14ac:dyDescent="0.25"/>
    <row r="4" spans="1:14" ht="27" thickBot="1" x14ac:dyDescent="0.45">
      <c r="A4" s="9" t="s">
        <v>14</v>
      </c>
      <c r="B4" s="4"/>
      <c r="C4" s="4"/>
      <c r="D4" s="4"/>
      <c r="E4" s="8"/>
      <c r="F4" s="4"/>
      <c r="G4" s="4"/>
      <c r="H4" s="8"/>
      <c r="I4" s="8"/>
      <c r="J4" s="8"/>
      <c r="K4" s="74"/>
      <c r="L4" s="75"/>
      <c r="M4" s="75"/>
      <c r="N4" s="8"/>
    </row>
    <row r="5" spans="1:14" ht="19.5" thickBot="1" x14ac:dyDescent="0.35">
      <c r="A5" s="4"/>
      <c r="B5" s="76" t="s">
        <v>24</v>
      </c>
      <c r="C5" s="77"/>
      <c r="D5" s="76" t="s">
        <v>33</v>
      </c>
      <c r="E5" s="77"/>
      <c r="F5" s="76" t="s">
        <v>31</v>
      </c>
      <c r="G5" s="77"/>
      <c r="H5" s="76" t="s">
        <v>90</v>
      </c>
      <c r="I5" s="78"/>
      <c r="J5" s="79" t="s">
        <v>95</v>
      </c>
      <c r="K5" s="80"/>
    </row>
    <row r="6" spans="1:14" ht="15.75" thickBot="1" x14ac:dyDescent="0.3">
      <c r="A6" s="4"/>
      <c r="B6" s="10" t="s">
        <v>25</v>
      </c>
      <c r="C6" s="11">
        <v>100</v>
      </c>
      <c r="D6" s="10" t="s">
        <v>28</v>
      </c>
      <c r="E6" s="11">
        <v>273</v>
      </c>
      <c r="F6" s="12" t="s">
        <v>32</v>
      </c>
      <c r="G6" s="53">
        <v>0.99999499999999997</v>
      </c>
      <c r="H6" s="33" t="s">
        <v>105</v>
      </c>
      <c r="I6" s="34"/>
      <c r="J6" s="32" t="s">
        <v>29</v>
      </c>
      <c r="K6" s="17">
        <v>1</v>
      </c>
    </row>
    <row r="7" spans="1:14" x14ac:dyDescent="0.25">
      <c r="A7" s="4"/>
      <c r="B7" s="13" t="s">
        <v>27</v>
      </c>
      <c r="C7" s="14">
        <f>273.15-20</f>
        <v>253.14999999999998</v>
      </c>
      <c r="F7" s="16"/>
      <c r="G7" s="56"/>
      <c r="H7" s="35"/>
      <c r="I7" s="35"/>
    </row>
    <row r="8" spans="1:14" x14ac:dyDescent="0.25">
      <c r="A8" s="4"/>
      <c r="B8" s="16" t="s">
        <v>28</v>
      </c>
      <c r="C8" s="14">
        <f>273.15-5</f>
        <v>268.14999999999998</v>
      </c>
      <c r="D8" s="13" t="s">
        <v>26</v>
      </c>
      <c r="E8" s="14">
        <v>2</v>
      </c>
      <c r="F8" s="16" t="s">
        <v>59</v>
      </c>
      <c r="G8" s="48">
        <v>0.2</v>
      </c>
      <c r="H8" s="35"/>
      <c r="I8" s="35"/>
    </row>
    <row r="9" spans="1:14" ht="15.75" thickBot="1" x14ac:dyDescent="0.3">
      <c r="A9" s="4"/>
      <c r="B9" s="16" t="s">
        <v>26</v>
      </c>
      <c r="C9" s="14">
        <v>2</v>
      </c>
      <c r="D9" s="18" t="s">
        <v>29</v>
      </c>
      <c r="E9" s="19">
        <v>2</v>
      </c>
      <c r="F9" s="54" t="s">
        <v>60</v>
      </c>
      <c r="G9" s="55">
        <v>0.02</v>
      </c>
      <c r="H9" s="35"/>
      <c r="I9" s="35"/>
    </row>
    <row r="10" spans="1:14" ht="15.75" thickBot="1" x14ac:dyDescent="0.3">
      <c r="B10" s="18" t="s">
        <v>29</v>
      </c>
      <c r="C10" s="19">
        <v>1</v>
      </c>
      <c r="D10" s="15"/>
      <c r="E10" s="15"/>
      <c r="H10" s="35"/>
      <c r="I10" s="35"/>
    </row>
    <row r="11" spans="1:14" x14ac:dyDescent="0.25">
      <c r="B11" s="4"/>
      <c r="C11" s="4"/>
      <c r="D11" s="4"/>
      <c r="E11" s="4"/>
      <c r="H11" s="4"/>
      <c r="I11" s="4"/>
    </row>
    <row r="13" spans="1:14" x14ac:dyDescent="0.25">
      <c r="C13">
        <f>bug(C17,D17,E17,H17,I17)</f>
        <v>1</v>
      </c>
    </row>
    <row r="15" spans="1:14" ht="26.25" x14ac:dyDescent="0.4">
      <c r="A15" s="9" t="s">
        <v>35</v>
      </c>
    </row>
    <row r="16" spans="1:14" ht="15.75" x14ac:dyDescent="0.25">
      <c r="B16" s="15" t="s">
        <v>30</v>
      </c>
      <c r="C16" s="20" t="s">
        <v>46</v>
      </c>
      <c r="D16" s="20" t="s">
        <v>51</v>
      </c>
      <c r="E16" s="20" t="s">
        <v>37</v>
      </c>
      <c r="F16" s="20" t="s">
        <v>40</v>
      </c>
      <c r="G16" s="20" t="s">
        <v>22</v>
      </c>
      <c r="H16" s="20" t="s">
        <v>106</v>
      </c>
      <c r="I16" s="20" t="s">
        <v>107</v>
      </c>
    </row>
    <row r="17" spans="1:19" x14ac:dyDescent="0.25">
      <c r="B17" s="15">
        <v>2</v>
      </c>
      <c r="C17">
        <v>5</v>
      </c>
      <c r="D17">
        <v>0.5</v>
      </c>
      <c r="E17">
        <v>5</v>
      </c>
      <c r="F17">
        <v>8</v>
      </c>
      <c r="G17">
        <v>2</v>
      </c>
      <c r="H17">
        <v>0.99</v>
      </c>
      <c r="I17">
        <v>0.99</v>
      </c>
    </row>
    <row r="18" spans="1:19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</row>
    <row r="21" spans="1:19" ht="26.25" x14ac:dyDescent="0.4">
      <c r="A21" s="24" t="s">
        <v>109</v>
      </c>
    </row>
    <row r="23" spans="1:19" ht="21" x14ac:dyDescent="0.35">
      <c r="A23" s="8"/>
      <c r="B23" s="45" t="s">
        <v>108</v>
      </c>
      <c r="C23" s="2">
        <v>1</v>
      </c>
      <c r="D23" s="2">
        <v>2</v>
      </c>
      <c r="E23" s="2">
        <v>3</v>
      </c>
      <c r="F23" s="2">
        <v>4</v>
      </c>
      <c r="G23" s="2">
        <v>5</v>
      </c>
      <c r="H23" s="2">
        <v>6</v>
      </c>
      <c r="I23" s="2" t="s">
        <v>0</v>
      </c>
      <c r="J23" s="2" t="s">
        <v>1</v>
      </c>
      <c r="K23" s="2" t="s">
        <v>2</v>
      </c>
      <c r="L23" s="2" t="s">
        <v>3</v>
      </c>
      <c r="M23" s="2" t="s">
        <v>4</v>
      </c>
      <c r="N23" s="2" t="s">
        <v>5</v>
      </c>
      <c r="O23" s="2" t="s">
        <v>6</v>
      </c>
      <c r="P23" s="2" t="s">
        <v>7</v>
      </c>
      <c r="Q23" s="2" t="s">
        <v>8</v>
      </c>
      <c r="R23" s="2" t="s">
        <v>9</v>
      </c>
      <c r="S23" s="2" t="s">
        <v>10</v>
      </c>
    </row>
    <row r="24" spans="1:19" ht="15" customHeight="1" x14ac:dyDescent="0.25">
      <c r="A24" s="46"/>
      <c r="B24" s="3" t="s">
        <v>11</v>
      </c>
      <c r="C24" s="1" t="e">
        <f ca="1">H24+5</f>
        <v>#NAME?</v>
      </c>
      <c r="D24" s="1" t="e">
        <f ca="1">_xll.stCALDewTemperature("SimulisCalculator1",F17,F51:G51,1,,,,,1)</f>
        <v>#NAME?</v>
      </c>
      <c r="E24" s="1" t="e">
        <f ca="1">INDEX(_xll.stCALFlashHP("SimulisCalculator1",$E$25,$E$27,F51:G51,1,FALSE,,,,,1),3)</f>
        <v>#NAME?</v>
      </c>
      <c r="F24" s="1"/>
      <c r="G24" s="4" t="e">
        <f ca="1">t_5($C$45,$C$44,$P$29,$G$29,$H$29,$C$6,$E$17,$C$10,$P$24)</f>
        <v>#VALUE!</v>
      </c>
      <c r="H24" s="1" t="e">
        <f ca="1">INDEX(_xll.stCALFlashHP("SimulisCalculator1",$H$25,$H$27,F51:G51,1,FALSE,,,,,1),3)</f>
        <v>#NAME?</v>
      </c>
      <c r="I24" s="1" t="e">
        <f ca="1">C24</f>
        <v>#NAME?</v>
      </c>
      <c r="J24" s="1" t="e">
        <f ca="1">INDEX(_xll.stCALFlashHP("SimulisCalculator1",$J$25,$J$27,B51:C51,1,FALSE,,,,,1),3)</f>
        <v>#NAME?</v>
      </c>
      <c r="K24" s="1" t="e">
        <f ca="1">INDEX(_xll.stCALFlashHP("SimulisCalculator1",$K$25,$K$27,B51:C51,1,FALSE,,,,,1),3)</f>
        <v>#NAME?</v>
      </c>
      <c r="L24" s="4" t="e">
        <f ca="1">_xll.stCALBubbleTemperature("SimulisCalculator1",F17,D51:E51,1,,,,,1)</f>
        <v>#NAME?</v>
      </c>
      <c r="M24" s="1" t="e">
        <f ca="1">INDEX(_xll.stCALFlashHP("SimulisCalculator1",$M$25,$M$27,{1;0},1,FALSE,,,,,1),3)</f>
        <v>#NAME?</v>
      </c>
      <c r="N24" s="4" t="e">
        <f ca="1">C24</f>
        <v>#NAME?</v>
      </c>
      <c r="O24" s="1"/>
      <c r="P24" s="1">
        <f>C8</f>
        <v>268.14999999999998</v>
      </c>
      <c r="Q24" s="1">
        <f>C7</f>
        <v>253.14999999999998</v>
      </c>
      <c r="R24" s="1">
        <f>E6</f>
        <v>273</v>
      </c>
      <c r="S24" s="1" t="e">
        <f ca="1">T_s_cd($E$43,$R$24,$B$17,$S$29)</f>
        <v>#VALUE!</v>
      </c>
    </row>
    <row r="25" spans="1:19" ht="15" customHeight="1" x14ac:dyDescent="0.25">
      <c r="A25" s="46"/>
      <c r="B25" s="3" t="s">
        <v>12</v>
      </c>
      <c r="C25" s="1">
        <f>$G$17</f>
        <v>2</v>
      </c>
      <c r="D25" s="1">
        <f>$F$17</f>
        <v>8</v>
      </c>
      <c r="E25" s="1">
        <f>$F$17</f>
        <v>8</v>
      </c>
      <c r="F25" s="1">
        <f>$F$17</f>
        <v>8</v>
      </c>
      <c r="G25" s="1">
        <f>G17</f>
        <v>2</v>
      </c>
      <c r="H25" s="1">
        <f>$G$17</f>
        <v>2</v>
      </c>
      <c r="I25" s="1">
        <f>$G$17</f>
        <v>2</v>
      </c>
      <c r="J25" s="1">
        <f>$F$17</f>
        <v>8</v>
      </c>
      <c r="K25" s="1">
        <f>$F$17</f>
        <v>8</v>
      </c>
      <c r="L25" s="1">
        <f>$F$17</f>
        <v>8</v>
      </c>
      <c r="M25" s="1">
        <f>$F$17</f>
        <v>8</v>
      </c>
      <c r="N25" s="1">
        <f>$G$17</f>
        <v>2</v>
      </c>
      <c r="O25" s="1"/>
      <c r="P25" s="1">
        <f>C9</f>
        <v>2</v>
      </c>
      <c r="Q25" s="1">
        <f>C9</f>
        <v>2</v>
      </c>
      <c r="R25" s="1">
        <f>E8</f>
        <v>2</v>
      </c>
      <c r="S25" s="1">
        <f>E8</f>
        <v>2</v>
      </c>
    </row>
    <row r="26" spans="1:19" ht="15" customHeight="1" x14ac:dyDescent="0.25">
      <c r="A26" s="46"/>
      <c r="B26" s="3" t="s">
        <v>13</v>
      </c>
      <c r="C26" s="1" t="e">
        <f ca="1">INDEX(_xll.stCALHm("SimulisCalculator1",$C$24,$G$17,F51:G51,1,1,1),1)</f>
        <v>#NAME?</v>
      </c>
      <c r="D26" s="5" t="e">
        <f ca="1">INDEX(_xll.stCALHm("SimulisCalculator1",$D$24,$D$25,F51:G51,1,1,1),1)</f>
        <v>#NAME?</v>
      </c>
      <c r="E26" s="22" t="e">
        <f ca="1">$G$26</f>
        <v>#NAME?</v>
      </c>
      <c r="F26" s="1"/>
      <c r="G26" s="1" t="e">
        <f ca="1">0.2*$G$31+0.8*$G$30</f>
        <v>#NAME?</v>
      </c>
      <c r="H26" s="1" t="e">
        <f ca="1">h_6($G$26,$C$6,$C$45)</f>
        <v>#VALUE!</v>
      </c>
      <c r="I26" s="1" t="e">
        <f ca="1">INDEX(_xll.stCALHm("SimulisCalculator1",$I$24,$I$25,B51:C51,1,1,1),1)</f>
        <v>#NAME?</v>
      </c>
      <c r="J26" s="1" t="e">
        <f ca="1">h_b(E45,C17,I26)</f>
        <v>#VALUE!</v>
      </c>
      <c r="K26" s="1" t="e">
        <f ca="1">h_c(J26,E44,C43)</f>
        <v>#VALUE!</v>
      </c>
      <c r="L26" s="1" t="e">
        <f ca="1">INDEX(_xll.stCALHm("SimulisCalculator1",$D$24,$F$17,D51:E51,1,1,1),1)</f>
        <v>#NAME?</v>
      </c>
      <c r="M26" s="1" t="e">
        <f ca="1">$N$26</f>
        <v>#NAME?</v>
      </c>
      <c r="N26" s="1" t="e">
        <f ca="1">INDEX(_xll.stCALHm("SimulisCalculator1",$N$24,$N$25,D51:E51,1,1,1),1)</f>
        <v>#NAME?</v>
      </c>
      <c r="O26" s="1"/>
      <c r="P26" s="1" t="e">
        <f ca="1">INDEX(_xll.stCALHm("SimulisCalculator1",$P$24,$P$25,{0;1},1,1,1),1)</f>
        <v>#NAME?</v>
      </c>
      <c r="Q26" s="1" t="e">
        <f ca="1">INDEX(_xll.stCALHm("SimulisCalculator1",$Q$24,$Q$25,{0;1},1,1,1),1)</f>
        <v>#NAME?</v>
      </c>
      <c r="R26" s="1" t="e">
        <f ca="1">INDEX(_xll.stCALHm("SimulisCalculator1",$R$24,$R$25,{0;1},1,1,1),1)</f>
        <v>#NAME?</v>
      </c>
      <c r="S26" s="1" t="e">
        <f ca="1">INDEX(_xll.stCALHm("SimulisCalculator1",$S$24,$S$25,{0;1},1,1,1),1)</f>
        <v>#NAME?</v>
      </c>
    </row>
    <row r="27" spans="1:19" ht="15" customHeight="1" x14ac:dyDescent="0.25">
      <c r="A27" s="46"/>
      <c r="B27" s="3" t="s">
        <v>20</v>
      </c>
      <c r="C27" s="1"/>
      <c r="D27" s="1" t="e">
        <f ca="1">$D$26*0.017</f>
        <v>#NAME?</v>
      </c>
      <c r="E27" s="23" t="e">
        <f ca="1">$E$26*0.017</f>
        <v>#NAME?</v>
      </c>
      <c r="F27" s="1"/>
      <c r="G27" s="1" t="e">
        <f ca="1">$G$26*0.017</f>
        <v>#NAME?</v>
      </c>
      <c r="H27" s="1" t="e">
        <f ca="1">$H$26*0.017</f>
        <v>#VALUE!</v>
      </c>
      <c r="I27" s="1"/>
      <c r="J27" s="1" t="e">
        <f ca="1">I34*J26</f>
        <v>#NAME?</v>
      </c>
      <c r="K27" s="1" t="e">
        <f ca="1">J34*K26</f>
        <v>#NAME?</v>
      </c>
      <c r="L27" s="1"/>
      <c r="M27" s="1"/>
      <c r="N27" s="1"/>
      <c r="O27" s="1"/>
      <c r="P27" s="1"/>
      <c r="Q27" s="1"/>
      <c r="R27" s="1"/>
      <c r="S27" s="1"/>
    </row>
    <row r="28" spans="1:19" ht="15" customHeight="1" x14ac:dyDescent="0.25">
      <c r="A28" s="46"/>
      <c r="B28" s="47" t="s">
        <v>15</v>
      </c>
      <c r="C28" s="7"/>
      <c r="D28" s="4"/>
      <c r="E28" s="7"/>
      <c r="F28" s="7"/>
      <c r="G28" s="7">
        <v>0.2</v>
      </c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</row>
    <row r="29" spans="1:19" ht="15" customHeight="1" x14ac:dyDescent="0.25">
      <c r="A29" s="46"/>
      <c r="B29" s="3" t="s">
        <v>16</v>
      </c>
      <c r="C29" s="1"/>
      <c r="D29" s="1"/>
      <c r="E29" s="1"/>
      <c r="F29" s="1"/>
      <c r="G29" s="1" t="e">
        <f ca="1">INDEX(_xll.stCALCp("SimulisCalculator1",$Q$24+5,5,F51:G51,1,4,1),1)</f>
        <v>#NAME?</v>
      </c>
      <c r="H29" s="1" t="e">
        <f ca="1">INDEX(_xll.stCALCp("SimulisCalculator1",$Q$24+5,5,F51:G51,1,3,1),3)</f>
        <v>#NAME?</v>
      </c>
      <c r="I29" s="1"/>
      <c r="J29" s="1"/>
      <c r="K29" s="1"/>
      <c r="L29" s="1"/>
      <c r="M29" s="1"/>
      <c r="N29" s="1"/>
      <c r="O29" s="1"/>
      <c r="P29" s="6" t="e">
        <f ca="1">INDEX(_xll.stCALCp("SimulisCalculator1",$P$24,$P$25,{0;1},1,1,1),1)</f>
        <v>#NAME?</v>
      </c>
      <c r="Q29" s="1"/>
      <c r="R29" s="1">
        <v>4.18</v>
      </c>
      <c r="S29" s="1">
        <v>4.18</v>
      </c>
    </row>
    <row r="30" spans="1:19" ht="15" customHeight="1" x14ac:dyDescent="0.25">
      <c r="A30" s="46"/>
      <c r="B30" s="3" t="s">
        <v>17</v>
      </c>
      <c r="C30" s="1"/>
      <c r="D30" s="1"/>
      <c r="E30" s="1"/>
      <c r="F30" s="1"/>
      <c r="G30" s="1" t="e">
        <f ca="1">INDEX(_xll.stCALHm("SimulisCalculator1",$G$24,$G$25,F51:G51,1,4,1),1)</f>
        <v>#NAME?</v>
      </c>
      <c r="H30" s="1" t="e">
        <f ca="1">$G$30</f>
        <v>#NAME?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ht="15" customHeight="1" x14ac:dyDescent="0.25">
      <c r="A31" s="46"/>
      <c r="B31" s="3" t="s">
        <v>18</v>
      </c>
      <c r="C31" s="1"/>
      <c r="D31" s="1"/>
      <c r="E31" s="1"/>
      <c r="F31" s="1"/>
      <c r="G31" s="1" t="e">
        <f ca="1">INDEX(_xll.stCALHm("SimulisCalculator1",$G$24,$G$25,F51:G51,1,3,1),1)</f>
        <v>#NAME?</v>
      </c>
      <c r="H31" s="1" t="e">
        <f ca="1">$G$31</f>
        <v>#NAME?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ht="15" customHeight="1" x14ac:dyDescent="0.25">
      <c r="A32" s="46"/>
      <c r="B32" s="3" t="s">
        <v>19</v>
      </c>
      <c r="C32" s="1"/>
      <c r="D32" s="1"/>
      <c r="E32" s="1"/>
      <c r="F32" s="1"/>
      <c r="G32" s="1" t="e">
        <f ca="1">ABS($G$30-$G$31)</f>
        <v>#NAME?</v>
      </c>
      <c r="H32" s="1" t="e">
        <f ca="1">$G$32</f>
        <v>#NAME?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ht="15" customHeight="1" x14ac:dyDescent="0.25">
      <c r="A33" s="46"/>
      <c r="B33" s="3" t="s">
        <v>21</v>
      </c>
      <c r="C33" s="1"/>
      <c r="D33" s="1"/>
      <c r="E33" s="1"/>
      <c r="F33" s="1"/>
      <c r="G33" s="1"/>
      <c r="H33" s="1" t="e">
        <f ca="1">_xll.stCALRhoV("SimulisCalculator1", H24, H25, F51:G51, 1)</f>
        <v>#NAME?</v>
      </c>
      <c r="I33" s="1" t="e">
        <f ca="1">_xll.stCALRhoL("SimulisCalculator1", I24, I25, B51:C51, 1)</f>
        <v>#NAME?</v>
      </c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ht="15" customHeight="1" x14ac:dyDescent="0.25">
      <c r="A34" s="46"/>
      <c r="B34" s="3" t="s">
        <v>93</v>
      </c>
      <c r="C34" s="1"/>
      <c r="D34" s="1"/>
      <c r="E34" s="1"/>
      <c r="F34" s="1"/>
      <c r="G34" s="1"/>
      <c r="H34" s="1"/>
      <c r="I34" s="1" t="e">
        <f ca="1">_xll.stCALMolecularWeight("SimulisCalculator1", I24, I25, B51:C51, 1, 0, 1)</f>
        <v>#NAME?</v>
      </c>
      <c r="J34" s="1" t="e">
        <f ca="1">_xll.stCALMolecularWeight("SimulisCalculator1", J24, J25, C51:D51, 1, 0, 1)</f>
        <v>#NAME?</v>
      </c>
      <c r="K34" s="1" t="e">
        <f ca="1">_xll.stCALMolecularWeight("SimulisCalculator1", K24, K25, D51:E51, 1, 0, 1)</f>
        <v>#NAME?</v>
      </c>
      <c r="L34" s="1"/>
      <c r="M34" s="1"/>
      <c r="N34" s="1"/>
      <c r="O34" s="1"/>
      <c r="R34" s="1"/>
      <c r="S34" s="1"/>
    </row>
    <row r="35" spans="1:19" x14ac:dyDescent="0.25">
      <c r="A35" s="86"/>
      <c r="B35" s="89" t="s">
        <v>115</v>
      </c>
      <c r="C35" s="5"/>
      <c r="D35" s="5"/>
      <c r="E35" s="5"/>
      <c r="F35" s="5"/>
      <c r="G35" s="5">
        <v>0.2</v>
      </c>
      <c r="H35" s="5"/>
      <c r="I35" s="5"/>
      <c r="J35" s="5"/>
      <c r="K35" s="5"/>
      <c r="L35" s="5"/>
      <c r="M35" s="5"/>
      <c r="N35" s="5"/>
      <c r="O35" s="5"/>
      <c r="P35" s="90">
        <v>0</v>
      </c>
      <c r="Q35" s="90">
        <v>0</v>
      </c>
      <c r="R35" s="5"/>
      <c r="S35" s="5"/>
    </row>
    <row r="36" spans="1:19" x14ac:dyDescent="0.25">
      <c r="A36" s="86"/>
      <c r="B36" s="89" t="s">
        <v>116</v>
      </c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90" t="e">
        <f ca="1">stCALTPropAtT("SimulisCalculator1",2,pidLiquidViscosity(),($P$24+$Q$24)/2)</f>
        <v>#NAME?</v>
      </c>
      <c r="Q36" s="90" t="e">
        <f ca="1">$P$36</f>
        <v>#NAME?</v>
      </c>
      <c r="R36" s="5"/>
      <c r="S36" s="5"/>
    </row>
    <row r="37" spans="1:19" x14ac:dyDescent="0.25">
      <c r="B37" s="89" t="s">
        <v>117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91" t="e">
        <f ca="1">INDEX(stCALTPropAtT("SimulisCalculator1",2,pidLiquidDensity(),($P$24+$Q$24)/2),1)</f>
        <v>#NAME?</v>
      </c>
      <c r="Q37" s="92" t="e">
        <f ca="1">$P$37</f>
        <v>#NAME?</v>
      </c>
      <c r="R37" s="1"/>
      <c r="S37" s="1"/>
    </row>
    <row r="38" spans="1:19" x14ac:dyDescent="0.25">
      <c r="B38" s="89" t="s">
        <v>118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90"/>
      <c r="Q38" s="90"/>
      <c r="R38" s="1"/>
      <c r="S38" s="1"/>
    </row>
    <row r="39" spans="1:19" x14ac:dyDescent="0.25">
      <c r="B39" s="89" t="s">
        <v>119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90" t="e">
        <f ca="1">stCALTPropAtT("SimulisCalculator1",2,pidSurfaceTension(),($P$24+$Q$24)/2)</f>
        <v>#NAME?</v>
      </c>
      <c r="Q39" s="90" t="e">
        <f ca="1">$P$39</f>
        <v>#NAME?</v>
      </c>
      <c r="R39" s="1"/>
      <c r="S39" s="1"/>
    </row>
    <row r="40" spans="1:19" x14ac:dyDescent="0.25">
      <c r="B40" s="89" t="s">
        <v>120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90" t="e">
        <f ca="1">stCALTPropAtT("SimulisCalculator1",2,pidLiquidThermalConductivity(),($P$24+$Q$24)/2)</f>
        <v>#NAME?</v>
      </c>
      <c r="Q40" s="90" t="e">
        <f ca="1">$P$40</f>
        <v>#NAME?</v>
      </c>
      <c r="R40" s="1"/>
      <c r="S40" s="1"/>
    </row>
    <row r="41" spans="1:19" ht="27" thickBot="1" x14ac:dyDescent="0.45">
      <c r="A41" s="9" t="s">
        <v>110</v>
      </c>
      <c r="B41" s="4"/>
      <c r="C41" s="4"/>
      <c r="D41" s="4"/>
      <c r="F41" s="8"/>
      <c r="G41" s="8"/>
    </row>
    <row r="42" spans="1:19" ht="27" thickBot="1" x14ac:dyDescent="0.45">
      <c r="A42" s="9"/>
      <c r="B42" s="72" t="s">
        <v>101</v>
      </c>
      <c r="C42" s="73"/>
      <c r="D42" s="72" t="s">
        <v>102</v>
      </c>
      <c r="E42" s="73"/>
      <c r="F42" s="87" t="s">
        <v>103</v>
      </c>
      <c r="G42" s="88"/>
      <c r="H42" s="70" t="s">
        <v>31</v>
      </c>
      <c r="I42" s="71"/>
      <c r="J42" s="72" t="s">
        <v>34</v>
      </c>
      <c r="K42" s="73"/>
    </row>
    <row r="43" spans="1:19" ht="15.75" x14ac:dyDescent="0.25">
      <c r="A43" s="4"/>
      <c r="B43" s="10" t="s">
        <v>45</v>
      </c>
      <c r="C43" s="11">
        <f>m_SP(C17,H17,I17,D17)</f>
        <v>2.5</v>
      </c>
      <c r="D43" s="10" t="s">
        <v>49</v>
      </c>
      <c r="E43" s="11" t="e">
        <f ca="1">Phi_Cd(C45,E26,D26)</f>
        <v>#VALUE!</v>
      </c>
      <c r="F43" s="41" t="s">
        <v>38</v>
      </c>
      <c r="G43" s="49" t="e">
        <f ca="1">S_CD(R24,S24,D24,E24,E43,E9)</f>
        <v>#VALUE!</v>
      </c>
      <c r="H43" s="41" t="s">
        <v>41</v>
      </c>
      <c r="I43" s="11" t="e">
        <f ca="1">NET(D17, C17, F17, J51, J50, K51, K50, H17, I17)</f>
        <v>#VALUE!</v>
      </c>
      <c r="J43" s="39" t="s">
        <v>42</v>
      </c>
      <c r="K43" s="11">
        <v>0.5</v>
      </c>
      <c r="L43" s="59"/>
    </row>
    <row r="44" spans="1:19" ht="15.75" x14ac:dyDescent="0.25">
      <c r="B44" s="13" t="s">
        <v>48</v>
      </c>
      <c r="C44" s="14" t="e">
        <f ca="1">m_ev(Q26,P26,C6)</f>
        <v>#VALUE!</v>
      </c>
      <c r="D44" s="13" t="s">
        <v>50</v>
      </c>
      <c r="E44" s="14" t="e">
        <f ca="1">Phi_sol(M26,L26,C43)</f>
        <v>#VALUE!</v>
      </c>
      <c r="F44" s="36" t="s">
        <v>39</v>
      </c>
      <c r="G44" s="50" t="e">
        <f ca="1">S_sol(L24,J24,K24,M24,-E44,K6)</f>
        <v>#VALUE!</v>
      </c>
      <c r="H44" s="36" t="s">
        <v>47</v>
      </c>
      <c r="I44" s="14">
        <v>0.2</v>
      </c>
      <c r="J44" s="40" t="s">
        <v>44</v>
      </c>
      <c r="K44" s="14" t="e">
        <f ca="1">H_abs(K43, G17, C17,D17, H24, H33,  K45, C45)</f>
        <v>#VALUE!</v>
      </c>
    </row>
    <row r="45" spans="1:19" ht="15.75" x14ac:dyDescent="0.25">
      <c r="B45" s="36" t="s">
        <v>36</v>
      </c>
      <c r="C45" s="14">
        <f>m_2(H17,I17,C17,D17)</f>
        <v>2.5</v>
      </c>
      <c r="D45" s="13" t="s">
        <v>58</v>
      </c>
      <c r="E45" s="14" t="e">
        <f ca="1">Phi_pompe(C43,I33,F17,G17)</f>
        <v>#VALUE!</v>
      </c>
      <c r="F45" s="42"/>
      <c r="G45" s="51"/>
      <c r="H45" s="13" t="s">
        <v>23</v>
      </c>
      <c r="I45" s="44" t="e">
        <f ca="1">Reflux(D17,C17,F17,J51,J50,K51,K50,H17, I17)</f>
        <v>#VALUE!</v>
      </c>
      <c r="J45" s="37" t="s">
        <v>111</v>
      </c>
      <c r="K45" s="14" t="e">
        <f ca="1">_xll.stCALKiLV("SimulisCalculator1",H24,G17,{0.5;0.5},{1;0})</f>
        <v>#NAME?</v>
      </c>
    </row>
    <row r="46" spans="1:19" ht="16.5" thickBot="1" x14ac:dyDescent="0.3">
      <c r="B46" s="25" t="s">
        <v>104</v>
      </c>
      <c r="C46" s="26">
        <f>(1-D17)*C17</f>
        <v>2.5</v>
      </c>
      <c r="D46" s="25"/>
      <c r="E46" s="26"/>
      <c r="F46" s="43"/>
      <c r="G46" s="52"/>
      <c r="H46" s="69" t="s">
        <v>43</v>
      </c>
      <c r="I46" s="26" t="e">
        <f ca="1">H_gen(I44*1000,G9,D17,C17,F17,J51,J50,K51,K50,H17,I17)</f>
        <v>#VALUE!</v>
      </c>
      <c r="J46" s="38"/>
      <c r="K46" s="26"/>
      <c r="L46" s="58"/>
    </row>
    <row r="47" spans="1:19" x14ac:dyDescent="0.25">
      <c r="J47" s="21"/>
      <c r="K47" s="21"/>
    </row>
    <row r="48" spans="1:19" ht="27" thickBot="1" x14ac:dyDescent="0.45">
      <c r="A48" s="24" t="s">
        <v>52</v>
      </c>
    </row>
    <row r="49" spans="1:17" ht="19.5" thickBot="1" x14ac:dyDescent="0.35">
      <c r="B49" s="81" t="s">
        <v>53</v>
      </c>
      <c r="C49" s="82"/>
      <c r="D49" s="83" t="s">
        <v>54</v>
      </c>
      <c r="E49" s="84"/>
      <c r="F49" s="85" t="s">
        <v>55</v>
      </c>
      <c r="G49" s="82"/>
      <c r="I49" s="63" t="s">
        <v>112</v>
      </c>
      <c r="J49" s="64" t="s">
        <v>57</v>
      </c>
      <c r="K49" s="65" t="s">
        <v>56</v>
      </c>
    </row>
    <row r="50" spans="1:17" x14ac:dyDescent="0.25">
      <c r="B50" s="10" t="s">
        <v>56</v>
      </c>
      <c r="C50" s="11" t="s">
        <v>57</v>
      </c>
      <c r="D50" s="10" t="s">
        <v>56</v>
      </c>
      <c r="E50" s="11" t="s">
        <v>57</v>
      </c>
      <c r="F50" s="10" t="s">
        <v>56</v>
      </c>
      <c r="G50" s="11" t="s">
        <v>57</v>
      </c>
      <c r="I50" s="61" t="s">
        <v>113</v>
      </c>
      <c r="J50" s="62" t="e">
        <f ca="1">_xll.stCALBubblePressure("SimulisCalculator1",D24,{0;1},1)</f>
        <v>#NAME?</v>
      </c>
      <c r="K50" s="66" t="e">
        <f ca="1">90.483-4669.7/D24-11.607*LN(D24)+0.017164*D24</f>
        <v>#NAME?</v>
      </c>
    </row>
    <row r="51" spans="1:17" ht="15.75" thickBot="1" x14ac:dyDescent="0.3">
      <c r="B51" s="25">
        <f>$D$17</f>
        <v>0.5</v>
      </c>
      <c r="C51" s="26">
        <f>1-$B$51</f>
        <v>0.5</v>
      </c>
      <c r="D51" s="27">
        <f>x_SP(C17,H17,I17,D17)</f>
        <v>1.0000000000000009E-2</v>
      </c>
      <c r="E51" s="28">
        <f>1-D51</f>
        <v>0.99</v>
      </c>
      <c r="F51" s="57">
        <f>x_2(H17,I17,C17,D17)</f>
        <v>0.99</v>
      </c>
      <c r="G51" s="26">
        <f>1-F51</f>
        <v>1.0000000000000009E-2</v>
      </c>
      <c r="I51" s="60" t="s">
        <v>114</v>
      </c>
      <c r="J51" s="67" t="e">
        <f ca="1">_xll.stCALBubblePressure("SimulisCalculator1",L24,{0;1},1)</f>
        <v>#NAME?</v>
      </c>
      <c r="K51" s="68" t="e">
        <f ca="1">90.483-4669.7/L24-11.607*LN(L24)+0.017164*L24</f>
        <v>#NAME?</v>
      </c>
    </row>
    <row r="55" spans="1:17" ht="26.25" x14ac:dyDescent="0.4">
      <c r="A55" s="24" t="s">
        <v>92</v>
      </c>
    </row>
    <row r="57" spans="1:17" ht="18.75" x14ac:dyDescent="0.3">
      <c r="A57" s="31" t="s">
        <v>24</v>
      </c>
      <c r="D57" s="31" t="s">
        <v>33</v>
      </c>
      <c r="G57" s="31" t="s">
        <v>91</v>
      </c>
      <c r="J57" s="31" t="s">
        <v>31</v>
      </c>
      <c r="M57" s="31" t="s">
        <v>34</v>
      </c>
      <c r="P57" s="31" t="s">
        <v>90</v>
      </c>
    </row>
    <row r="58" spans="1:17" x14ac:dyDescent="0.25">
      <c r="A58" t="s">
        <v>86</v>
      </c>
      <c r="B58">
        <f>E17</f>
        <v>5</v>
      </c>
      <c r="D58" s="30" t="s">
        <v>89</v>
      </c>
      <c r="E58">
        <f>$F$17</f>
        <v>8</v>
      </c>
      <c r="G58" s="30" t="s">
        <v>89</v>
      </c>
      <c r="H58">
        <f>$F$17</f>
        <v>8</v>
      </c>
      <c r="J58" t="s">
        <v>88</v>
      </c>
      <c r="K58">
        <f>$I$44</f>
        <v>0.2</v>
      </c>
      <c r="M58" t="s">
        <v>88</v>
      </c>
      <c r="N58">
        <f>$K$43</f>
        <v>0.5</v>
      </c>
      <c r="P58" t="s">
        <v>87</v>
      </c>
      <c r="Q58">
        <f>$G$17</f>
        <v>2</v>
      </c>
    </row>
    <row r="59" spans="1:17" x14ac:dyDescent="0.25">
      <c r="A59" t="s">
        <v>68</v>
      </c>
      <c r="B59">
        <v>0.6</v>
      </c>
      <c r="D59" t="s">
        <v>86</v>
      </c>
      <c r="E59" t="e">
        <f ca="1">G43</f>
        <v>#VALUE!</v>
      </c>
      <c r="G59" t="s">
        <v>86</v>
      </c>
      <c r="H59" t="e">
        <f ca="1">G44</f>
        <v>#VALUE!</v>
      </c>
      <c r="J59" t="s">
        <v>85</v>
      </c>
      <c r="K59">
        <v>8</v>
      </c>
      <c r="M59" t="s">
        <v>85</v>
      </c>
      <c r="N59">
        <v>8</v>
      </c>
    </row>
    <row r="60" spans="1:17" x14ac:dyDescent="0.25">
      <c r="D60" t="s">
        <v>84</v>
      </c>
      <c r="E60">
        <v>1</v>
      </c>
      <c r="G60" t="s">
        <v>84</v>
      </c>
      <c r="H60">
        <v>1</v>
      </c>
      <c r="J60" t="s">
        <v>83</v>
      </c>
      <c r="K60" t="e">
        <f ca="1">I46</f>
        <v>#VALUE!</v>
      </c>
      <c r="M60" t="s">
        <v>83</v>
      </c>
      <c r="N60" t="e">
        <f ca="1">K44</f>
        <v>#VALUE!</v>
      </c>
      <c r="P60" t="s">
        <v>82</v>
      </c>
      <c r="Q60">
        <v>10000</v>
      </c>
    </row>
    <row r="61" spans="1:17" x14ac:dyDescent="0.25">
      <c r="A61" s="29" t="s">
        <v>64</v>
      </c>
      <c r="B61" s="29">
        <f>prixevap(B58,B59)</f>
        <v>62811.123749999999</v>
      </c>
      <c r="D61" t="s">
        <v>81</v>
      </c>
      <c r="E61">
        <v>1</v>
      </c>
      <c r="G61" t="s">
        <v>81</v>
      </c>
      <c r="H61">
        <v>1</v>
      </c>
      <c r="J61" t="s">
        <v>80</v>
      </c>
      <c r="K61">
        <v>8</v>
      </c>
      <c r="M61" t="s">
        <v>80</v>
      </c>
      <c r="N61">
        <v>8</v>
      </c>
      <c r="P61" t="s">
        <v>79</v>
      </c>
      <c r="Q61">
        <v>1</v>
      </c>
    </row>
    <row r="62" spans="1:17" x14ac:dyDescent="0.25">
      <c r="D62" t="s">
        <v>78</v>
      </c>
      <c r="E62">
        <v>1</v>
      </c>
      <c r="G62" t="s">
        <v>78</v>
      </c>
      <c r="H62">
        <v>1</v>
      </c>
      <c r="J62" t="s">
        <v>77</v>
      </c>
      <c r="K62">
        <v>0.1</v>
      </c>
      <c r="M62" t="s">
        <v>75</v>
      </c>
      <c r="N62">
        <v>8</v>
      </c>
      <c r="P62" t="s">
        <v>68</v>
      </c>
      <c r="Q62">
        <v>1</v>
      </c>
    </row>
    <row r="63" spans="1:17" x14ac:dyDescent="0.25">
      <c r="D63" t="s">
        <v>76</v>
      </c>
      <c r="E63">
        <v>1</v>
      </c>
      <c r="G63" t="s">
        <v>76</v>
      </c>
      <c r="H63">
        <v>1</v>
      </c>
      <c r="J63" t="s">
        <v>75</v>
      </c>
      <c r="K63">
        <v>8</v>
      </c>
      <c r="M63" t="s">
        <v>74</v>
      </c>
      <c r="N63">
        <v>1.2</v>
      </c>
      <c r="P63" t="s">
        <v>70</v>
      </c>
      <c r="Q63">
        <v>1</v>
      </c>
    </row>
    <row r="64" spans="1:17" x14ac:dyDescent="0.25">
      <c r="D64" t="s">
        <v>94</v>
      </c>
      <c r="E64" t="e">
        <f ca="1">fpcond(E59,E58)</f>
        <v>#VALUE!</v>
      </c>
      <c r="G64" t="s">
        <v>94</v>
      </c>
      <c r="H64" t="e">
        <f ca="1">fpcond(H59,H58)</f>
        <v>#VALUE!</v>
      </c>
      <c r="J64" t="s">
        <v>73</v>
      </c>
      <c r="K64">
        <v>1.2</v>
      </c>
      <c r="M64" t="s">
        <v>72</v>
      </c>
      <c r="N64">
        <v>1.1000000000000001</v>
      </c>
      <c r="P64" t="s">
        <v>71</v>
      </c>
      <c r="Q64">
        <f>fppompe(Q58)</f>
        <v>0.7</v>
      </c>
    </row>
    <row r="65" spans="1:17" x14ac:dyDescent="0.25">
      <c r="D65" t="s">
        <v>70</v>
      </c>
      <c r="E65">
        <v>1</v>
      </c>
      <c r="G65" t="s">
        <v>70</v>
      </c>
      <c r="H65">
        <v>1</v>
      </c>
      <c r="J65" t="s">
        <v>69</v>
      </c>
      <c r="K65">
        <v>1.1000000000000001</v>
      </c>
    </row>
    <row r="66" spans="1:17" x14ac:dyDescent="0.25">
      <c r="D66" t="s">
        <v>68</v>
      </c>
      <c r="E66">
        <v>1</v>
      </c>
      <c r="G66" t="s">
        <v>68</v>
      </c>
      <c r="H66">
        <v>1</v>
      </c>
      <c r="J66" t="s">
        <v>67</v>
      </c>
      <c r="K66">
        <v>1.03</v>
      </c>
      <c r="M66" t="s">
        <v>66</v>
      </c>
      <c r="N66">
        <v>30000</v>
      </c>
      <c r="P66" t="s">
        <v>61</v>
      </c>
      <c r="Q66">
        <f>Prixpompe(Q60,Q61,Q62,Q63,Q64)</f>
        <v>7000</v>
      </c>
    </row>
    <row r="67" spans="1:17" x14ac:dyDescent="0.25">
      <c r="J67" t="s">
        <v>65</v>
      </c>
      <c r="K67">
        <v>1.02</v>
      </c>
    </row>
    <row r="68" spans="1:17" x14ac:dyDescent="0.25">
      <c r="D68" t="s">
        <v>64</v>
      </c>
      <c r="E68" t="e">
        <f ca="1">Prixmultitub(E59,E58,E60,E61,E62,E63,E65,E66)</f>
        <v>#VALUE!</v>
      </c>
      <c r="G68" t="s">
        <v>64</v>
      </c>
      <c r="H68" t="e">
        <f ca="1">Prixmultitub(H59,H58,H60,H61,H62,H63,H65,H66)</f>
        <v>#VALUE!</v>
      </c>
      <c r="J68" t="s">
        <v>63</v>
      </c>
      <c r="K68">
        <v>1.2</v>
      </c>
      <c r="M68" t="s">
        <v>61</v>
      </c>
      <c r="N68" t="e">
        <f ca="1">prixabs(N58,N61,N62,N60,N59,N63,N64,N66)</f>
        <v>#VALUE!</v>
      </c>
    </row>
    <row r="69" spans="1:17" x14ac:dyDescent="0.25">
      <c r="J69" t="s">
        <v>62</v>
      </c>
      <c r="K69">
        <v>1.35</v>
      </c>
    </row>
    <row r="70" spans="1:17" x14ac:dyDescent="0.25">
      <c r="A70" t="s">
        <v>96</v>
      </c>
      <c r="B70" t="e">
        <f ca="1">B61+E68+H68+K71+N68+Q66</f>
        <v>#VALUE!</v>
      </c>
    </row>
    <row r="71" spans="1:17" x14ac:dyDescent="0.25">
      <c r="J71" t="s">
        <v>61</v>
      </c>
      <c r="K71" t="e">
        <f ca="1">prixgen(K58,K61,K63,K60,K59,K64,K65,K66,K67,K68,K69,K62)</f>
        <v>#VALUE!</v>
      </c>
    </row>
    <row r="73" spans="1:17" x14ac:dyDescent="0.25">
      <c r="A73" t="s">
        <v>97</v>
      </c>
    </row>
    <row r="74" spans="1:17" x14ac:dyDescent="0.25">
      <c r="C74" t="s">
        <v>24</v>
      </c>
      <c r="D74" t="s">
        <v>33</v>
      </c>
      <c r="E74" t="s">
        <v>99</v>
      </c>
    </row>
    <row r="75" spans="1:17" x14ac:dyDescent="0.25">
      <c r="B75" t="s">
        <v>98</v>
      </c>
      <c r="C75" t="e">
        <f ca="1">$P$24-$G$24</f>
        <v>#VALUE!</v>
      </c>
      <c r="D75" t="e">
        <f ca="1">$R$24-$E$24</f>
        <v>#NAME?</v>
      </c>
      <c r="E75" t="e">
        <f ca="1">$L$24-$K$24</f>
        <v>#NAME?</v>
      </c>
    </row>
    <row r="77" spans="1:17" x14ac:dyDescent="0.25">
      <c r="B77" t="s">
        <v>100</v>
      </c>
    </row>
  </sheetData>
  <scenarios current="0">
    <scenario name="ffred" count="4" user="Frédéric Tarroux" comment="Créé par Frédéric Tarroux le 3/28/2014">
      <inputCells r="H17" val="0.9"/>
      <inputCells r="I17" val="0.9"/>
      <inputCells r="D17" val="0.5"/>
      <inputCells r="E17" val="1"/>
    </scenario>
  </scenarios>
  <mergeCells count="15">
    <mergeCell ref="B49:C49"/>
    <mergeCell ref="D49:E49"/>
    <mergeCell ref="F49:G49"/>
    <mergeCell ref="A35:A36"/>
    <mergeCell ref="B42:C42"/>
    <mergeCell ref="D42:E42"/>
    <mergeCell ref="F42:G42"/>
    <mergeCell ref="H42:I42"/>
    <mergeCell ref="J42:K42"/>
    <mergeCell ref="K4:M4"/>
    <mergeCell ref="B5:C5"/>
    <mergeCell ref="D5:E5"/>
    <mergeCell ref="F5:G5"/>
    <mergeCell ref="H5:I5"/>
    <mergeCell ref="J5:K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imulisCalculator1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25" r:id="rId4" name="SimulisCalculator1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solveur">
            <anchor moveWithCells="1" sizeWithCells="1">
              <from>
                <xdr:col>2</xdr:col>
                <xdr:colOff>790575</xdr:colOff>
                <xdr:row>0</xdr:row>
                <xdr:rowOff>228600</xdr:rowOff>
              </from>
              <to>
                <xdr:col>3</xdr:col>
                <xdr:colOff>2028825</xdr:colOff>
                <xdr:row>3</xdr:row>
                <xdr:rowOff>47625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 Tarroux</dc:creator>
  <cp:lastModifiedBy>FRED</cp:lastModifiedBy>
  <dcterms:created xsi:type="dcterms:W3CDTF">2014-02-05T13:27:30Z</dcterms:created>
  <dcterms:modified xsi:type="dcterms:W3CDTF">2014-03-30T15:18:37Z</dcterms:modified>
</cp:coreProperties>
</file>